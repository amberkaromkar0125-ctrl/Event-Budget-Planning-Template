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40"/>
  <workbookPr checkCompatibility="1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5BEC36C4-7403-463A-B0C3-5F71985E4750}" xr6:coauthVersionLast="36" xr6:coauthVersionMax="47" xr10:uidLastSave="{00000000-0000-0000-0000-000000000000}"/>
  <bookViews>
    <workbookView xWindow="0" yWindow="0" windowWidth="23040" windowHeight="9060" activeTab="2" xr2:uid="{00000000-000D-0000-FFFF-FFFF00000000}"/>
  </bookViews>
  <sheets>
    <sheet name="Gantt Chart" sheetId="1" r:id="rId1"/>
    <sheet name="Sheet1" sheetId="2" r:id="rId2"/>
    <sheet name="Sheet2" sheetId="3" r:id="rId3"/>
    <sheet name="Sheet3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2" i="4" l="1"/>
  <c r="D23" i="4" s="1"/>
  <c r="E21" i="4"/>
  <c r="F21" i="4" s="1"/>
  <c r="D16" i="4"/>
  <c r="D15" i="4"/>
  <c r="D17" i="4" s="1"/>
  <c r="D11" i="4"/>
  <c r="D10" i="4"/>
  <c r="E9" i="4"/>
  <c r="F8" i="4"/>
  <c r="E7" i="4"/>
  <c r="E6" i="4"/>
  <c r="D5" i="4"/>
  <c r="D4" i="4"/>
  <c r="D3" i="4"/>
  <c r="F22" i="4" l="1"/>
  <c r="D19" i="4"/>
  <c r="D18" i="4"/>
  <c r="G37" i="3"/>
  <c r="F37" i="3"/>
  <c r="G27" i="3"/>
  <c r="F27" i="3"/>
  <c r="G20" i="3"/>
  <c r="F20" i="3"/>
  <c r="F8" i="3"/>
  <c r="G8" i="3"/>
  <c r="G13" i="3"/>
  <c r="F13" i="3"/>
  <c r="D20" i="4" l="1"/>
</calcChain>
</file>

<file path=xl/sharedStrings.xml><?xml version="1.0" encoding="utf-8"?>
<sst xmlns="http://schemas.openxmlformats.org/spreadsheetml/2006/main" count="98" uniqueCount="80">
  <si>
    <t>Activity</t>
  </si>
  <si>
    <t>Start Date</t>
  </si>
  <si>
    <t>Get the Equipments</t>
  </si>
  <si>
    <t>Stich the Suit</t>
  </si>
  <si>
    <t>Attach the Belt</t>
  </si>
  <si>
    <t>Build the Arms Cover</t>
  </si>
  <si>
    <t>Design the Chest Piece</t>
  </si>
  <si>
    <t>Assemble the Armour</t>
  </si>
  <si>
    <t>Prepare the Neck Piece</t>
  </si>
  <si>
    <t>Design the Mask</t>
  </si>
  <si>
    <t>Make the Boots</t>
  </si>
  <si>
    <t>Test for Survival</t>
  </si>
  <si>
    <t>Get the Cape &amp; Gloves</t>
  </si>
  <si>
    <t>Number of Days</t>
  </si>
  <si>
    <t>Particular</t>
  </si>
  <si>
    <t>Estimated Quantity</t>
  </si>
  <si>
    <t>Estimated Rate/Unit</t>
  </si>
  <si>
    <t>Actual Quanity</t>
  </si>
  <si>
    <t>Actual Rate/Unit</t>
  </si>
  <si>
    <t>Actual Amount</t>
  </si>
  <si>
    <t>Estimated Amount</t>
  </si>
  <si>
    <t>Plot/Hall/Room Rent</t>
  </si>
  <si>
    <t>Furniture Rent</t>
  </si>
  <si>
    <t>Electric and Other Electronic Equipements</t>
  </si>
  <si>
    <t>Tent/Decoration Expanses</t>
  </si>
  <si>
    <t>Other Miscelanious Expanses</t>
  </si>
  <si>
    <t>Veneu Expanses</t>
  </si>
  <si>
    <t>Total</t>
  </si>
  <si>
    <t>Refreshment Expanses</t>
  </si>
  <si>
    <t xml:space="preserve">Food </t>
  </si>
  <si>
    <t>Drink</t>
  </si>
  <si>
    <t xml:space="preserve">Other </t>
  </si>
  <si>
    <t>Program Expenses</t>
  </si>
  <si>
    <t>Web development</t>
  </si>
  <si>
    <t>Social Media Advertisement Expenses</t>
  </si>
  <si>
    <t>Print Media Advertisement Expenses</t>
  </si>
  <si>
    <t>Electonic Media Advertisement Expenses</t>
  </si>
  <si>
    <t>Gift/ Momentous / Giveaway</t>
  </si>
  <si>
    <t>Presenters/ Performers /Staff Remunerstion</t>
  </si>
  <si>
    <t>Presenters/ Performers /Staff Travelling Expanses</t>
  </si>
  <si>
    <t>Presenters/ Performers /Staff Accomodation</t>
  </si>
  <si>
    <t>Presenters/ Performers /Staff Clothing Expenses</t>
  </si>
  <si>
    <t>Promotional Expenses</t>
  </si>
  <si>
    <t>Misceleneous Expenses</t>
  </si>
  <si>
    <t>Grand Total Of Expenses</t>
  </si>
  <si>
    <t xml:space="preserve">Name Tag /Budges </t>
  </si>
  <si>
    <t xml:space="preserve">Literature Printing </t>
  </si>
  <si>
    <t>Stickers / Banners</t>
  </si>
  <si>
    <t>Postage &amp;Courier Charges</t>
  </si>
  <si>
    <t>stationery Expenese</t>
  </si>
  <si>
    <t>Telephone Charges</t>
  </si>
  <si>
    <t>Other Transportation Exp.</t>
  </si>
  <si>
    <t>Other Misceloanious Expenses</t>
  </si>
  <si>
    <t>Text Formula</t>
  </si>
  <si>
    <t>FROMULA</t>
  </si>
  <si>
    <t>UPPER</t>
  </si>
  <si>
    <t>Lower</t>
  </si>
  <si>
    <t>Proper</t>
  </si>
  <si>
    <t xml:space="preserve">len </t>
  </si>
  <si>
    <t>omkar amberkar</t>
  </si>
  <si>
    <t>Trim</t>
  </si>
  <si>
    <t xml:space="preserve">     omkar amberkar</t>
  </si>
  <si>
    <t xml:space="preserve"> </t>
  </si>
  <si>
    <t>Concat</t>
  </si>
  <si>
    <t>joshi</t>
  </si>
  <si>
    <t xml:space="preserve">paresh </t>
  </si>
  <si>
    <t xml:space="preserve">left </t>
  </si>
  <si>
    <t>mid</t>
  </si>
  <si>
    <t>right</t>
  </si>
  <si>
    <t>kalpesh kumar singh</t>
  </si>
  <si>
    <t>Date Formula</t>
  </si>
  <si>
    <t>today</t>
  </si>
  <si>
    <t xml:space="preserve">now </t>
  </si>
  <si>
    <t xml:space="preserve">day </t>
  </si>
  <si>
    <t>month</t>
  </si>
  <si>
    <t>year</t>
  </si>
  <si>
    <t>date</t>
  </si>
  <si>
    <t>datedif</t>
  </si>
  <si>
    <t>Edate</t>
  </si>
  <si>
    <t>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</si>
</sst>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 &quot;₹&quot;\ * #,##0.00_ ;_ &quot;₹&quot;\ * \-#,##0.00_ ;_ &quot;₹&quot;\ * &quot;-&quot;??_ ;_ @_ "/>
    <numFmt numFmtId="164" formatCode="_-[$$-409]* #,##0.00_ ;_-[$$-409]* \-#,##0.00\ ;_-[$$-409]* &quot;-&quot;??_ ;_-@_ "/>
    <numFmt numFmtId="165" formatCode="[$$-C09]#,##0.00"/>
  </numFmts>
  <fonts count="5" x14ac:knownFonts="1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34998626667073579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32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0" xfId="0" applyFont="1"/>
    <xf numFmtId="0" fontId="2" fillId="0" borderId="0" xfId="0" applyFont="1" applyFill="1" applyBorder="1" applyAlignment="1">
      <alignment horizontal="center"/>
    </xf>
    <xf numFmtId="14" fontId="0" fillId="0" borderId="0" xfId="0" applyNumberFormat="1"/>
    <xf numFmtId="22" fontId="0" fillId="0" borderId="0" xfId="0" applyNumberFormat="1"/>
    <xf numFmtId="0" fontId="4" fillId="5" borderId="1" xfId="0" applyFont="1" applyFill="1" applyBorder="1" applyAlignment="1">
      <alignment horizontal="center" vertical="center" wrapText="1"/>
    </xf>
    <xf numFmtId="0" fontId="0" fillId="4" borderId="1" xfId="0" applyFont="1" applyFill="1" applyBorder="1" applyAlignment="1">
      <alignment horizontal="center"/>
    </xf>
    <xf numFmtId="0" fontId="0" fillId="4" borderId="1" xfId="0" applyFont="1" applyFill="1" applyBorder="1"/>
    <xf numFmtId="0" fontId="0" fillId="5" borderId="1" xfId="0" applyFont="1" applyFill="1" applyBorder="1" applyAlignment="1">
      <alignment horizontal="center"/>
    </xf>
    <xf numFmtId="0" fontId="0" fillId="5" borderId="1" xfId="0" applyFont="1" applyFill="1" applyBorder="1"/>
    <xf numFmtId="164" fontId="0" fillId="5" borderId="1" xfId="0" applyNumberFormat="1" applyFont="1" applyFill="1" applyBorder="1" applyAlignment="1">
      <alignment horizontal="center"/>
    </xf>
    <xf numFmtId="165" fontId="0" fillId="5" borderId="1" xfId="0" applyNumberFormat="1" applyFont="1" applyFill="1" applyBorder="1" applyAlignment="1">
      <alignment horizontal="center"/>
    </xf>
    <xf numFmtId="0" fontId="0" fillId="5" borderId="1" xfId="0" applyFont="1" applyFill="1" applyBorder="1" applyAlignment="1">
      <alignment horizontal="center" wrapText="1"/>
    </xf>
    <xf numFmtId="164" fontId="0" fillId="5" borderId="1" xfId="0" applyNumberFormat="1" applyFont="1" applyFill="1" applyBorder="1"/>
    <xf numFmtId="164" fontId="0" fillId="5" borderId="1" xfId="1" applyNumberFormat="1" applyFont="1" applyFill="1" applyBorder="1" applyAlignment="1">
      <alignment horizontal="center"/>
    </xf>
    <xf numFmtId="0" fontId="0" fillId="6" borderId="2" xfId="0" applyFont="1" applyFill="1" applyBorder="1" applyAlignment="1">
      <alignment horizontal="center"/>
    </xf>
    <xf numFmtId="0" fontId="0" fillId="6" borderId="3" xfId="0" applyFont="1" applyFill="1" applyBorder="1" applyAlignment="1">
      <alignment horizontal="center"/>
    </xf>
    <xf numFmtId="0" fontId="0" fillId="6" borderId="4" xfId="0" applyFont="1" applyFill="1" applyBorder="1" applyAlignment="1">
      <alignment horizontal="center"/>
    </xf>
    <xf numFmtId="164" fontId="0" fillId="6" borderId="1" xfId="0" applyNumberFormat="1" applyFont="1" applyFill="1" applyBorder="1" applyAlignment="1">
      <alignment horizontal="center"/>
    </xf>
    <xf numFmtId="164" fontId="0" fillId="6" borderId="1" xfId="1" applyNumberFormat="1" applyFont="1" applyFill="1" applyBorder="1" applyAlignment="1">
      <alignment horizontal="center"/>
    </xf>
    <xf numFmtId="0" fontId="0" fillId="6" borderId="1" xfId="0" applyFont="1" applyFill="1" applyBorder="1" applyAlignment="1">
      <alignment horizontal="center"/>
    </xf>
    <xf numFmtId="0" fontId="0" fillId="5" borderId="2" xfId="0" applyFont="1" applyFill="1" applyBorder="1" applyAlignment="1">
      <alignment horizontal="center"/>
    </xf>
    <xf numFmtId="0" fontId="0" fillId="5" borderId="3" xfId="0" applyFont="1" applyFill="1" applyBorder="1" applyAlignment="1">
      <alignment horizontal="center"/>
    </xf>
    <xf numFmtId="0" fontId="0" fillId="5" borderId="4" xfId="0" applyFont="1" applyFill="1" applyBorder="1" applyAlignment="1">
      <alignment horizontal="center"/>
    </xf>
    <xf numFmtId="0" fontId="0" fillId="7" borderId="2" xfId="0" applyFont="1" applyFill="1" applyBorder="1" applyAlignment="1">
      <alignment horizontal="center"/>
    </xf>
    <xf numFmtId="0" fontId="0" fillId="7" borderId="3" xfId="0" applyFont="1" applyFill="1" applyBorder="1" applyAlignment="1">
      <alignment horizontal="center"/>
    </xf>
    <xf numFmtId="0" fontId="0" fillId="7" borderId="4" xfId="0" applyFont="1" applyFill="1" applyBorder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'Gantt Chart'!$B$1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'Gantt Chart'!$A$2:$A$12</c:f>
              <c:strCache>
                <c:ptCount val="11"/>
                <c:pt idx="0">
                  <c:v>Get the Equipments</c:v>
                </c:pt>
                <c:pt idx="1">
                  <c:v>Build the Arms Cover</c:v>
                </c:pt>
                <c:pt idx="2">
                  <c:v>Assemble the Armour</c:v>
                </c:pt>
                <c:pt idx="3">
                  <c:v>Design the Chest Piece</c:v>
                </c:pt>
                <c:pt idx="4">
                  <c:v>Prepare the Neck Piece</c:v>
                </c:pt>
                <c:pt idx="5">
                  <c:v>Design the Mask</c:v>
                </c:pt>
                <c:pt idx="6">
                  <c:v>Get the Cape &amp; Gloves</c:v>
                </c:pt>
                <c:pt idx="7">
                  <c:v>Make the Boots</c:v>
                </c:pt>
                <c:pt idx="8">
                  <c:v>Stich the Suit</c:v>
                </c:pt>
                <c:pt idx="9">
                  <c:v>Attach the Belt</c:v>
                </c:pt>
                <c:pt idx="10">
                  <c:v>Test for Survival</c:v>
                </c:pt>
              </c:strCache>
            </c:strRef>
          </c:cat>
          <c:val>
            <c:numRef>
              <c:f>'Gantt Chart'!$B$2:$B$12</c:f>
              <c:numCache>
                <c:formatCode>m/d/yyyy</c:formatCode>
                <c:ptCount val="11"/>
                <c:pt idx="0">
                  <c:v>42060</c:v>
                </c:pt>
                <c:pt idx="1">
                  <c:v>42063</c:v>
                </c:pt>
                <c:pt idx="2">
                  <c:v>42063</c:v>
                </c:pt>
                <c:pt idx="3">
                  <c:v>42067</c:v>
                </c:pt>
                <c:pt idx="4">
                  <c:v>42070</c:v>
                </c:pt>
                <c:pt idx="5">
                  <c:v>42073</c:v>
                </c:pt>
                <c:pt idx="6">
                  <c:v>42076</c:v>
                </c:pt>
                <c:pt idx="7">
                  <c:v>42078</c:v>
                </c:pt>
                <c:pt idx="8">
                  <c:v>42079</c:v>
                </c:pt>
                <c:pt idx="9">
                  <c:v>42101</c:v>
                </c:pt>
                <c:pt idx="10">
                  <c:v>42087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CE-4EFF-99A4-FFD0A84F525D}"/>
            </c:ext>
          </c:extLst>
        </c:ser>
        <c:ser>
          <c:idx val="1"/>
          <c:order val="1"/>
          <c:tx>
            <c:strRef>
              <c:f>'Gantt Chart'!$C$1</c:f>
              <c:strCache>
                <c:ptCount val="1"/>
                <c:pt idx="0">
                  <c:v>Number of Days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'Gantt Chart'!$A$2:$A$12</c:f>
              <c:strCache>
                <c:ptCount val="11"/>
                <c:pt idx="0">
                  <c:v>Get the Equipments</c:v>
                </c:pt>
                <c:pt idx="1">
                  <c:v>Build the Arms Cover</c:v>
                </c:pt>
                <c:pt idx="2">
                  <c:v>Assemble the Armour</c:v>
                </c:pt>
                <c:pt idx="3">
                  <c:v>Design the Chest Piece</c:v>
                </c:pt>
                <c:pt idx="4">
                  <c:v>Prepare the Neck Piece</c:v>
                </c:pt>
                <c:pt idx="5">
                  <c:v>Design the Mask</c:v>
                </c:pt>
                <c:pt idx="6">
                  <c:v>Get the Cape &amp; Gloves</c:v>
                </c:pt>
                <c:pt idx="7">
                  <c:v>Make the Boots</c:v>
                </c:pt>
                <c:pt idx="8">
                  <c:v>Stich the Suit</c:v>
                </c:pt>
                <c:pt idx="9">
                  <c:v>Attach the Belt</c:v>
                </c:pt>
                <c:pt idx="10">
                  <c:v>Test for Survival</c:v>
                </c:pt>
              </c:strCache>
            </c:strRef>
          </c:cat>
          <c:val>
            <c:numRef>
              <c:f>'Gantt Chart'!$C$2:$C$12</c:f>
              <c:numCache>
                <c:formatCode>General</c:formatCode>
                <c:ptCount val="11"/>
                <c:pt idx="0">
                  <c:v>2</c:v>
                </c:pt>
                <c:pt idx="1">
                  <c:v>3</c:v>
                </c:pt>
                <c:pt idx="2">
                  <c:v>6</c:v>
                </c:pt>
                <c:pt idx="3">
                  <c:v>3</c:v>
                </c:pt>
                <c:pt idx="4">
                  <c:v>2</c:v>
                </c:pt>
                <c:pt idx="5">
                  <c:v>3</c:v>
                </c:pt>
                <c:pt idx="6">
                  <c:v>2</c:v>
                </c:pt>
                <c:pt idx="7">
                  <c:v>3</c:v>
                </c:pt>
                <c:pt idx="8">
                  <c:v>6</c:v>
                </c:pt>
                <c:pt idx="9">
                  <c:v>1</c:v>
                </c:pt>
                <c:pt idx="10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CE-4EFF-99A4-FFD0A84F52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66521952"/>
        <c:axId val="1572805216"/>
      </c:barChart>
      <c:catAx>
        <c:axId val="156652195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2805216"/>
        <c:crosses val="autoZero"/>
        <c:auto val="1"/>
        <c:lblAlgn val="ctr"/>
        <c:lblOffset val="100"/>
        <c:noMultiLvlLbl val="0"/>
      </c:catAx>
      <c:valAx>
        <c:axId val="1572805216"/>
        <c:scaling>
          <c:orientation val="minMax"/>
          <c:min val="420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65219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7297358298801732"/>
          <c:y val="4.9844236760124609E-2"/>
          <c:w val="0.77258947806601419"/>
          <c:h val="0.8934633404469301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Sheet1!$A$2:$A$12</c:f>
              <c:strCache>
                <c:ptCount val="11"/>
                <c:pt idx="0">
                  <c:v>Get the Equipments</c:v>
                </c:pt>
                <c:pt idx="1">
                  <c:v>Build the Arms Cover</c:v>
                </c:pt>
                <c:pt idx="2">
                  <c:v>Assemble the Armour</c:v>
                </c:pt>
                <c:pt idx="3">
                  <c:v>Design the Chest Piece</c:v>
                </c:pt>
                <c:pt idx="4">
                  <c:v>Prepare the Neck Piece</c:v>
                </c:pt>
                <c:pt idx="5">
                  <c:v>Design the Mask</c:v>
                </c:pt>
                <c:pt idx="6">
                  <c:v>Get the Cape &amp; Gloves</c:v>
                </c:pt>
                <c:pt idx="7">
                  <c:v>Make the Boots</c:v>
                </c:pt>
                <c:pt idx="8">
                  <c:v>Stich the Suit</c:v>
                </c:pt>
                <c:pt idx="9">
                  <c:v>Attach the Belt</c:v>
                </c:pt>
                <c:pt idx="10">
                  <c:v>Test for Survival</c:v>
                </c:pt>
              </c:strCache>
            </c:strRef>
          </c:cat>
          <c:val>
            <c:numRef>
              <c:f>Sheet1!$B$2:$B$12</c:f>
              <c:numCache>
                <c:formatCode>m/d/yyyy</c:formatCode>
                <c:ptCount val="11"/>
                <c:pt idx="0">
                  <c:v>42060</c:v>
                </c:pt>
                <c:pt idx="1">
                  <c:v>42063</c:v>
                </c:pt>
                <c:pt idx="2">
                  <c:v>42063</c:v>
                </c:pt>
                <c:pt idx="3">
                  <c:v>42067</c:v>
                </c:pt>
                <c:pt idx="4">
                  <c:v>42070</c:v>
                </c:pt>
                <c:pt idx="5">
                  <c:v>42073</c:v>
                </c:pt>
                <c:pt idx="6">
                  <c:v>42076</c:v>
                </c:pt>
                <c:pt idx="7">
                  <c:v>42078</c:v>
                </c:pt>
                <c:pt idx="8">
                  <c:v>42079</c:v>
                </c:pt>
                <c:pt idx="9">
                  <c:v>42101</c:v>
                </c:pt>
                <c:pt idx="10">
                  <c:v>42087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48-40D1-93F7-6CC62F885FE2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Number of Days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Sheet1!$A$2:$A$12</c:f>
              <c:strCache>
                <c:ptCount val="11"/>
                <c:pt idx="0">
                  <c:v>Get the Equipments</c:v>
                </c:pt>
                <c:pt idx="1">
                  <c:v>Build the Arms Cover</c:v>
                </c:pt>
                <c:pt idx="2">
                  <c:v>Assemble the Armour</c:v>
                </c:pt>
                <c:pt idx="3">
                  <c:v>Design the Chest Piece</c:v>
                </c:pt>
                <c:pt idx="4">
                  <c:v>Prepare the Neck Piece</c:v>
                </c:pt>
                <c:pt idx="5">
                  <c:v>Design the Mask</c:v>
                </c:pt>
                <c:pt idx="6">
                  <c:v>Get the Cape &amp; Gloves</c:v>
                </c:pt>
                <c:pt idx="7">
                  <c:v>Make the Boots</c:v>
                </c:pt>
                <c:pt idx="8">
                  <c:v>Stich the Suit</c:v>
                </c:pt>
                <c:pt idx="9">
                  <c:v>Attach the Belt</c:v>
                </c:pt>
                <c:pt idx="10">
                  <c:v>Test for Survival</c:v>
                </c:pt>
              </c:strCache>
            </c:strRef>
          </c:cat>
          <c:val>
            <c:numRef>
              <c:f>Sheet1!$C$2:$C$12</c:f>
              <c:numCache>
                <c:formatCode>General</c:formatCode>
                <c:ptCount val="11"/>
                <c:pt idx="0">
                  <c:v>2</c:v>
                </c:pt>
                <c:pt idx="1">
                  <c:v>3</c:v>
                </c:pt>
                <c:pt idx="2">
                  <c:v>6</c:v>
                </c:pt>
                <c:pt idx="3">
                  <c:v>3</c:v>
                </c:pt>
                <c:pt idx="4">
                  <c:v>2</c:v>
                </c:pt>
                <c:pt idx="5">
                  <c:v>3</c:v>
                </c:pt>
                <c:pt idx="6">
                  <c:v>2</c:v>
                </c:pt>
                <c:pt idx="7">
                  <c:v>3</c:v>
                </c:pt>
                <c:pt idx="8">
                  <c:v>6</c:v>
                </c:pt>
                <c:pt idx="9">
                  <c:v>1</c:v>
                </c:pt>
                <c:pt idx="10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B48-40D1-93F7-6CC62F885F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57822720"/>
        <c:axId val="1594705456"/>
      </c:barChart>
      <c:catAx>
        <c:axId val="145782272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4705456"/>
        <c:crosses val="autoZero"/>
        <c:auto val="1"/>
        <c:lblAlgn val="ctr"/>
        <c:lblOffset val="100"/>
        <c:noMultiLvlLbl val="0"/>
      </c:catAx>
      <c:valAx>
        <c:axId val="1594705456"/>
        <c:scaling>
          <c:orientation val="minMax"/>
          <c:min val="420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78227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1641</xdr:colOff>
      <xdr:row>0</xdr:row>
      <xdr:rowOff>0</xdr:rowOff>
    </xdr:from>
    <xdr:to>
      <xdr:col>16</xdr:col>
      <xdr:colOff>246335</xdr:colOff>
      <xdr:row>20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AFDFDF4-FF1D-45EC-9C9C-29E153F9C1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198120</xdr:colOff>
      <xdr:row>2</xdr:row>
      <xdr:rowOff>38100</xdr:rowOff>
    </xdr:from>
    <xdr:to>
      <xdr:col>16</xdr:col>
      <xdr:colOff>281940</xdr:colOff>
      <xdr:row>26</xdr:row>
      <xdr:rowOff>91440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1C94BDE-3D43-43DC-B97C-E3997AF081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"/>
  <sheetViews>
    <sheetView showGridLines="0" zoomScale="115" zoomScaleNormal="115" workbookViewId="0">
      <selection activeCell="A16" sqref="A16"/>
    </sheetView>
  </sheetViews>
  <sheetFormatPr defaultRowHeight="14.4" x14ac:dyDescent="0.3"/>
  <cols>
    <col min="1" max="1" width="27" bestFit="1" customWidth="1"/>
    <col min="2" max="2" width="12.88671875" customWidth="1"/>
    <col min="3" max="3" width="15.88671875" bestFit="1" customWidth="1"/>
  </cols>
  <sheetData>
    <row r="1" spans="1:3" x14ac:dyDescent="0.3">
      <c r="A1" s="4" t="s">
        <v>0</v>
      </c>
      <c r="B1" s="4" t="s">
        <v>1</v>
      </c>
      <c r="C1" s="4" t="s">
        <v>13</v>
      </c>
    </row>
    <row r="2" spans="1:3" x14ac:dyDescent="0.3">
      <c r="A2" s="1" t="s">
        <v>2</v>
      </c>
      <c r="B2" s="2">
        <v>42060</v>
      </c>
      <c r="C2" s="3">
        <v>2</v>
      </c>
    </row>
    <row r="3" spans="1:3" x14ac:dyDescent="0.3">
      <c r="A3" s="1" t="s">
        <v>5</v>
      </c>
      <c r="B3" s="2">
        <v>42063</v>
      </c>
      <c r="C3" s="3">
        <v>3</v>
      </c>
    </row>
    <row r="4" spans="1:3" x14ac:dyDescent="0.3">
      <c r="A4" s="1" t="s">
        <v>7</v>
      </c>
      <c r="B4" s="2">
        <v>42063</v>
      </c>
      <c r="C4" s="3">
        <v>6</v>
      </c>
    </row>
    <row r="5" spans="1:3" x14ac:dyDescent="0.3">
      <c r="A5" s="1" t="s">
        <v>6</v>
      </c>
      <c r="B5" s="2">
        <v>42067</v>
      </c>
      <c r="C5" s="3">
        <v>3</v>
      </c>
    </row>
    <row r="6" spans="1:3" x14ac:dyDescent="0.3">
      <c r="A6" s="1" t="s">
        <v>8</v>
      </c>
      <c r="B6" s="2">
        <v>42070</v>
      </c>
      <c r="C6" s="3">
        <v>2</v>
      </c>
    </row>
    <row r="7" spans="1:3" x14ac:dyDescent="0.3">
      <c r="A7" s="1" t="s">
        <v>9</v>
      </c>
      <c r="B7" s="2">
        <v>42073</v>
      </c>
      <c r="C7" s="3">
        <v>3</v>
      </c>
    </row>
    <row r="8" spans="1:3" x14ac:dyDescent="0.3">
      <c r="A8" s="1" t="s">
        <v>12</v>
      </c>
      <c r="B8" s="2">
        <v>42076</v>
      </c>
      <c r="C8" s="3">
        <v>2</v>
      </c>
    </row>
    <row r="9" spans="1:3" x14ac:dyDescent="0.3">
      <c r="A9" s="1" t="s">
        <v>10</v>
      </c>
      <c r="B9" s="2">
        <v>42078</v>
      </c>
      <c r="C9" s="3">
        <v>3</v>
      </c>
    </row>
    <row r="10" spans="1:3" x14ac:dyDescent="0.3">
      <c r="A10" s="1" t="s">
        <v>3</v>
      </c>
      <c r="B10" s="2">
        <v>42079</v>
      </c>
      <c r="C10" s="3">
        <v>6</v>
      </c>
    </row>
    <row r="11" spans="1:3" x14ac:dyDescent="0.3">
      <c r="A11" s="1" t="s">
        <v>4</v>
      </c>
      <c r="B11" s="2">
        <v>42101</v>
      </c>
      <c r="C11" s="3">
        <v>1</v>
      </c>
    </row>
    <row r="12" spans="1:3" x14ac:dyDescent="0.3">
      <c r="A12" s="1" t="s">
        <v>11</v>
      </c>
      <c r="B12" s="2">
        <v>42087</v>
      </c>
      <c r="C12" s="3">
        <v>7</v>
      </c>
    </row>
    <row r="18" ht="30" customHeight="1" x14ac:dyDescent="0.3"/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9EF68-AB24-48A4-AB24-0DBB033B3857}">
  <dimension ref="A1:C12"/>
  <sheetViews>
    <sheetView workbookViewId="0">
      <selection activeCell="B28" sqref="B28"/>
    </sheetView>
  </sheetViews>
  <sheetFormatPr defaultRowHeight="14.4" x14ac:dyDescent="0.3"/>
  <cols>
    <col min="1" max="1" width="23.33203125" customWidth="1"/>
    <col min="2" max="2" width="15" customWidth="1"/>
    <col min="3" max="3" width="17.44140625" customWidth="1"/>
  </cols>
  <sheetData>
    <row r="1" spans="1:3" x14ac:dyDescent="0.3">
      <c r="A1" s="5" t="s">
        <v>0</v>
      </c>
      <c r="B1" s="5" t="s">
        <v>1</v>
      </c>
      <c r="C1" s="5" t="s">
        <v>13</v>
      </c>
    </row>
    <row r="2" spans="1:3" x14ac:dyDescent="0.3">
      <c r="A2" s="1" t="s">
        <v>2</v>
      </c>
      <c r="B2" s="2">
        <v>42060</v>
      </c>
      <c r="C2" s="3">
        <v>2</v>
      </c>
    </row>
    <row r="3" spans="1:3" x14ac:dyDescent="0.3">
      <c r="A3" s="1" t="s">
        <v>5</v>
      </c>
      <c r="B3" s="2">
        <v>42063</v>
      </c>
      <c r="C3" s="3">
        <v>3</v>
      </c>
    </row>
    <row r="4" spans="1:3" x14ac:dyDescent="0.3">
      <c r="A4" s="1" t="s">
        <v>7</v>
      </c>
      <c r="B4" s="2">
        <v>42063</v>
      </c>
      <c r="C4" s="3">
        <v>6</v>
      </c>
    </row>
    <row r="5" spans="1:3" x14ac:dyDescent="0.3">
      <c r="A5" s="1" t="s">
        <v>6</v>
      </c>
      <c r="B5" s="2">
        <v>42067</v>
      </c>
      <c r="C5" s="3">
        <v>3</v>
      </c>
    </row>
    <row r="6" spans="1:3" x14ac:dyDescent="0.3">
      <c r="A6" s="1" t="s">
        <v>8</v>
      </c>
      <c r="B6" s="2">
        <v>42070</v>
      </c>
      <c r="C6" s="3">
        <v>2</v>
      </c>
    </row>
    <row r="7" spans="1:3" x14ac:dyDescent="0.3">
      <c r="A7" s="1" t="s">
        <v>9</v>
      </c>
      <c r="B7" s="2">
        <v>42073</v>
      </c>
      <c r="C7" s="3">
        <v>3</v>
      </c>
    </row>
    <row r="8" spans="1:3" x14ac:dyDescent="0.3">
      <c r="A8" s="1" t="s">
        <v>12</v>
      </c>
      <c r="B8" s="2">
        <v>42076</v>
      </c>
      <c r="C8" s="3">
        <v>2</v>
      </c>
    </row>
    <row r="9" spans="1:3" x14ac:dyDescent="0.3">
      <c r="A9" s="1" t="s">
        <v>10</v>
      </c>
      <c r="B9" s="2">
        <v>42078</v>
      </c>
      <c r="C9" s="3">
        <v>3</v>
      </c>
    </row>
    <row r="10" spans="1:3" x14ac:dyDescent="0.3">
      <c r="A10" s="1" t="s">
        <v>3</v>
      </c>
      <c r="B10" s="2">
        <v>42079</v>
      </c>
      <c r="C10" s="3">
        <v>6</v>
      </c>
    </row>
    <row r="11" spans="1:3" x14ac:dyDescent="0.3">
      <c r="A11" s="1" t="s">
        <v>4</v>
      </c>
      <c r="B11" s="2">
        <v>42101</v>
      </c>
      <c r="C11" s="3">
        <v>1</v>
      </c>
    </row>
    <row r="12" spans="1:3" x14ac:dyDescent="0.3">
      <c r="A12" s="1" t="s">
        <v>11</v>
      </c>
      <c r="B12" s="2">
        <v>42087</v>
      </c>
      <c r="C12" s="3">
        <v>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E1370-3586-4330-8BD6-0CDF0252D5A5}">
  <dimension ref="A1:G41"/>
  <sheetViews>
    <sheetView tabSelected="1" workbookViewId="0">
      <selection activeCell="H3" sqref="H3"/>
    </sheetView>
  </sheetViews>
  <sheetFormatPr defaultRowHeight="14.4" x14ac:dyDescent="0.3"/>
  <cols>
    <col min="1" max="1" width="39.109375" customWidth="1"/>
    <col min="2" max="2" width="20.109375" customWidth="1"/>
    <col min="3" max="3" width="21" customWidth="1"/>
    <col min="4" max="4" width="16.109375" customWidth="1"/>
    <col min="5" max="5" width="17.6640625" customWidth="1"/>
    <col min="6" max="6" width="19.5546875" customWidth="1"/>
    <col min="7" max="7" width="16.33203125" customWidth="1"/>
  </cols>
  <sheetData>
    <row r="1" spans="1:7" ht="36" customHeight="1" x14ac:dyDescent="0.3">
      <c r="A1" s="10" t="s">
        <v>14</v>
      </c>
      <c r="B1" s="10" t="s">
        <v>15</v>
      </c>
      <c r="C1" s="10" t="s">
        <v>16</v>
      </c>
      <c r="D1" s="10" t="s">
        <v>17</v>
      </c>
      <c r="E1" s="10" t="s">
        <v>18</v>
      </c>
      <c r="F1" s="10" t="s">
        <v>20</v>
      </c>
      <c r="G1" s="10" t="s">
        <v>19</v>
      </c>
    </row>
    <row r="2" spans="1:7" x14ac:dyDescent="0.3">
      <c r="A2" s="25" t="s">
        <v>26</v>
      </c>
      <c r="B2" s="25"/>
      <c r="C2" s="25"/>
      <c r="D2" s="25"/>
      <c r="E2" s="25"/>
      <c r="F2" s="25"/>
      <c r="G2" s="25"/>
    </row>
    <row r="3" spans="1:7" x14ac:dyDescent="0.3">
      <c r="A3" s="13" t="s">
        <v>21</v>
      </c>
      <c r="B3" s="11">
        <v>1000</v>
      </c>
      <c r="C3" s="11">
        <v>100</v>
      </c>
      <c r="D3" s="11">
        <v>1000</v>
      </c>
      <c r="E3" s="11">
        <v>110</v>
      </c>
      <c r="F3" s="15">
        <v>100000</v>
      </c>
      <c r="G3" s="15">
        <v>110000</v>
      </c>
    </row>
    <row r="4" spans="1:7" x14ac:dyDescent="0.3">
      <c r="A4" s="13" t="s">
        <v>22</v>
      </c>
      <c r="B4" s="11">
        <v>3000</v>
      </c>
      <c r="C4" s="11">
        <v>10</v>
      </c>
      <c r="D4" s="11">
        <v>3000</v>
      </c>
      <c r="E4" s="11">
        <v>9</v>
      </c>
      <c r="F4" s="15">
        <v>30000</v>
      </c>
      <c r="G4" s="15">
        <v>27000</v>
      </c>
    </row>
    <row r="5" spans="1:7" x14ac:dyDescent="0.3">
      <c r="A5" s="13" t="s">
        <v>23</v>
      </c>
      <c r="B5" s="11"/>
      <c r="C5" s="11"/>
      <c r="D5" s="11"/>
      <c r="E5" s="11"/>
      <c r="F5" s="15">
        <v>12000</v>
      </c>
      <c r="G5" s="15">
        <v>15000</v>
      </c>
    </row>
    <row r="6" spans="1:7" x14ac:dyDescent="0.3">
      <c r="A6" s="13" t="s">
        <v>24</v>
      </c>
      <c r="B6" s="11">
        <v>1000</v>
      </c>
      <c r="C6" s="11">
        <v>20</v>
      </c>
      <c r="D6" s="11">
        <v>10000</v>
      </c>
      <c r="E6" s="11">
        <v>15</v>
      </c>
      <c r="F6" s="15">
        <v>10000</v>
      </c>
      <c r="G6" s="15">
        <v>8000</v>
      </c>
    </row>
    <row r="7" spans="1:7" ht="15" customHeight="1" x14ac:dyDescent="0.3">
      <c r="A7" s="13" t="s">
        <v>25</v>
      </c>
      <c r="B7" s="12"/>
      <c r="C7" s="12"/>
      <c r="D7" s="12"/>
      <c r="E7" s="12"/>
      <c r="F7" s="18"/>
      <c r="G7" s="18"/>
    </row>
    <row r="8" spans="1:7" ht="15" customHeight="1" x14ac:dyDescent="0.3">
      <c r="A8" s="26"/>
      <c r="B8" s="27"/>
      <c r="C8" s="27"/>
      <c r="D8" s="28"/>
      <c r="E8" s="14" t="s">
        <v>27</v>
      </c>
      <c r="F8" s="18">
        <f>SUM(F4:F7)</f>
        <v>52000</v>
      </c>
      <c r="G8" s="18">
        <f>SUM(G4:G7)</f>
        <v>50000</v>
      </c>
    </row>
    <row r="9" spans="1:7" x14ac:dyDescent="0.3">
      <c r="A9" s="25" t="s">
        <v>28</v>
      </c>
      <c r="B9" s="25"/>
      <c r="C9" s="25"/>
      <c r="D9" s="25"/>
      <c r="E9" s="25"/>
      <c r="F9" s="25"/>
      <c r="G9" s="25"/>
    </row>
    <row r="10" spans="1:7" x14ac:dyDescent="0.3">
      <c r="A10" s="13" t="s">
        <v>29</v>
      </c>
      <c r="B10" s="11">
        <v>3000</v>
      </c>
      <c r="C10" s="11">
        <v>200</v>
      </c>
      <c r="D10" s="11">
        <v>3000</v>
      </c>
      <c r="E10" s="11">
        <v>180</v>
      </c>
      <c r="F10" s="15">
        <v>600000</v>
      </c>
      <c r="G10" s="15">
        <v>540000</v>
      </c>
    </row>
    <row r="11" spans="1:7" x14ac:dyDescent="0.3">
      <c r="A11" s="13" t="s">
        <v>30</v>
      </c>
      <c r="B11" s="11">
        <v>3000</v>
      </c>
      <c r="C11" s="11">
        <v>20</v>
      </c>
      <c r="D11" s="11">
        <v>3000</v>
      </c>
      <c r="E11" s="11">
        <v>15</v>
      </c>
      <c r="F11" s="15">
        <v>60000</v>
      </c>
      <c r="G11" s="16">
        <v>45000</v>
      </c>
    </row>
    <row r="12" spans="1:7" x14ac:dyDescent="0.3">
      <c r="A12" s="13" t="s">
        <v>31</v>
      </c>
      <c r="B12" s="11"/>
      <c r="C12" s="11"/>
      <c r="D12" s="11"/>
      <c r="E12" s="11"/>
      <c r="F12" s="13"/>
      <c r="G12" s="13"/>
    </row>
    <row r="13" spans="1:7" x14ac:dyDescent="0.3">
      <c r="A13" s="26"/>
      <c r="B13" s="27"/>
      <c r="C13" s="27"/>
      <c r="D13" s="28"/>
      <c r="E13" s="13" t="s">
        <v>27</v>
      </c>
      <c r="F13" s="15">
        <f>SUM(F10:F11)</f>
        <v>660000</v>
      </c>
      <c r="G13" s="15">
        <f>SUM(G10:G11)</f>
        <v>585000</v>
      </c>
    </row>
    <row r="14" spans="1:7" ht="7.2" customHeight="1" x14ac:dyDescent="0.3">
      <c r="A14" s="29"/>
      <c r="B14" s="30"/>
      <c r="C14" s="30"/>
      <c r="D14" s="30"/>
      <c r="E14" s="30"/>
      <c r="F14" s="30"/>
      <c r="G14" s="31"/>
    </row>
    <row r="15" spans="1:7" x14ac:dyDescent="0.3">
      <c r="A15" s="25" t="s">
        <v>32</v>
      </c>
      <c r="B15" s="25"/>
      <c r="C15" s="25"/>
      <c r="D15" s="25"/>
      <c r="E15" s="25"/>
      <c r="F15" s="25"/>
      <c r="G15" s="25"/>
    </row>
    <row r="16" spans="1:7" x14ac:dyDescent="0.3">
      <c r="A16" s="13" t="s">
        <v>38</v>
      </c>
      <c r="B16" s="11">
        <v>100</v>
      </c>
      <c r="C16" s="11">
        <v>1000</v>
      </c>
      <c r="D16" s="11">
        <v>100</v>
      </c>
      <c r="E16" s="11">
        <v>900</v>
      </c>
      <c r="F16" s="15">
        <v>100000</v>
      </c>
      <c r="G16" s="15">
        <v>90000</v>
      </c>
    </row>
    <row r="17" spans="1:7" ht="28.8" x14ac:dyDescent="0.3">
      <c r="A17" s="17" t="s">
        <v>39</v>
      </c>
      <c r="B17" s="11">
        <v>100</v>
      </c>
      <c r="C17" s="11">
        <v>200</v>
      </c>
      <c r="D17" s="11">
        <v>100</v>
      </c>
      <c r="E17" s="11">
        <v>185</v>
      </c>
      <c r="F17" s="15">
        <v>20000</v>
      </c>
      <c r="G17" s="15">
        <v>18500</v>
      </c>
    </row>
    <row r="18" spans="1:7" x14ac:dyDescent="0.3">
      <c r="A18" s="13" t="s">
        <v>40</v>
      </c>
      <c r="B18" s="11">
        <v>100</v>
      </c>
      <c r="C18" s="11">
        <v>100</v>
      </c>
      <c r="D18" s="11">
        <v>100</v>
      </c>
      <c r="E18" s="11">
        <v>85</v>
      </c>
      <c r="F18" s="15">
        <v>10000</v>
      </c>
      <c r="G18" s="15">
        <v>8500</v>
      </c>
    </row>
    <row r="19" spans="1:7" ht="28.8" x14ac:dyDescent="0.3">
      <c r="A19" s="17" t="s">
        <v>41</v>
      </c>
      <c r="B19" s="11">
        <v>100</v>
      </c>
      <c r="C19" s="11">
        <v>50</v>
      </c>
      <c r="D19" s="11">
        <v>100</v>
      </c>
      <c r="E19" s="11">
        <v>35</v>
      </c>
      <c r="F19" s="15">
        <v>5000</v>
      </c>
      <c r="G19" s="15">
        <v>3500</v>
      </c>
    </row>
    <row r="20" spans="1:7" x14ac:dyDescent="0.3">
      <c r="A20" s="26"/>
      <c r="B20" s="27"/>
      <c r="C20" s="27"/>
      <c r="D20" s="28"/>
      <c r="E20" s="14" t="s">
        <v>27</v>
      </c>
      <c r="F20" s="18">
        <f>SUM(F16:F19)</f>
        <v>135000</v>
      </c>
      <c r="G20" s="18">
        <f>SUM(G16:G19)</f>
        <v>120500</v>
      </c>
    </row>
    <row r="21" spans="1:7" x14ac:dyDescent="0.3">
      <c r="A21" s="25" t="s">
        <v>42</v>
      </c>
      <c r="B21" s="25"/>
      <c r="C21" s="25"/>
      <c r="D21" s="25"/>
      <c r="E21" s="25"/>
      <c r="F21" s="25"/>
      <c r="G21" s="25"/>
    </row>
    <row r="22" spans="1:7" x14ac:dyDescent="0.3">
      <c r="A22" s="13" t="s">
        <v>33</v>
      </c>
      <c r="B22" s="11">
        <v>1</v>
      </c>
      <c r="C22" s="11">
        <v>25000</v>
      </c>
      <c r="D22" s="11">
        <v>1</v>
      </c>
      <c r="E22" s="11">
        <v>22000</v>
      </c>
      <c r="F22" s="15">
        <v>25000</v>
      </c>
      <c r="G22" s="15">
        <v>22000</v>
      </c>
    </row>
    <row r="23" spans="1:7" x14ac:dyDescent="0.3">
      <c r="A23" s="13" t="s">
        <v>34</v>
      </c>
      <c r="B23" s="11">
        <v>5</v>
      </c>
      <c r="C23" s="11">
        <v>5000</v>
      </c>
      <c r="D23" s="11">
        <v>5</v>
      </c>
      <c r="E23" s="11">
        <v>3800</v>
      </c>
      <c r="F23" s="15">
        <v>25000</v>
      </c>
      <c r="G23" s="19">
        <v>19000</v>
      </c>
    </row>
    <row r="24" spans="1:7" x14ac:dyDescent="0.3">
      <c r="A24" s="13" t="s">
        <v>35</v>
      </c>
      <c r="B24" s="11">
        <v>12</v>
      </c>
      <c r="C24" s="11">
        <v>10000</v>
      </c>
      <c r="D24" s="11">
        <v>12</v>
      </c>
      <c r="E24" s="11">
        <v>8500</v>
      </c>
      <c r="F24" s="15">
        <v>120000</v>
      </c>
      <c r="G24" s="19">
        <v>102000</v>
      </c>
    </row>
    <row r="25" spans="1:7" x14ac:dyDescent="0.3">
      <c r="A25" s="13" t="s">
        <v>36</v>
      </c>
      <c r="B25" s="11">
        <v>25</v>
      </c>
      <c r="C25" s="11">
        <v>1000</v>
      </c>
      <c r="D25" s="11">
        <v>25</v>
      </c>
      <c r="E25" s="11">
        <v>750</v>
      </c>
      <c r="F25" s="15">
        <v>25000</v>
      </c>
      <c r="G25" s="19">
        <v>18750</v>
      </c>
    </row>
    <row r="26" spans="1:7" x14ac:dyDescent="0.3">
      <c r="A26" s="13" t="s">
        <v>37</v>
      </c>
      <c r="B26" s="11">
        <v>2000</v>
      </c>
      <c r="C26" s="11">
        <v>15</v>
      </c>
      <c r="D26" s="11">
        <v>2000</v>
      </c>
      <c r="E26" s="11">
        <v>18</v>
      </c>
      <c r="F26" s="15">
        <v>30000</v>
      </c>
      <c r="G26" s="19">
        <v>36000</v>
      </c>
    </row>
    <row r="27" spans="1:7" x14ac:dyDescent="0.3">
      <c r="A27" s="26"/>
      <c r="B27" s="27"/>
      <c r="C27" s="27"/>
      <c r="D27" s="28"/>
      <c r="E27" s="13" t="s">
        <v>27</v>
      </c>
      <c r="F27" s="18">
        <f>SUM(F22:F26)</f>
        <v>225000</v>
      </c>
      <c r="G27" s="18">
        <f>SUM(G22:G26)</f>
        <v>197750</v>
      </c>
    </row>
    <row r="28" spans="1:7" x14ac:dyDescent="0.3">
      <c r="A28" s="20" t="s">
        <v>43</v>
      </c>
      <c r="B28" s="21"/>
      <c r="C28" s="21"/>
      <c r="D28" s="21"/>
      <c r="E28" s="21"/>
      <c r="F28" s="21"/>
      <c r="G28" s="22"/>
    </row>
    <row r="29" spans="1:7" x14ac:dyDescent="0.3">
      <c r="A29" s="13" t="s">
        <v>45</v>
      </c>
      <c r="B29" s="11">
        <v>100</v>
      </c>
      <c r="C29" s="11">
        <v>50</v>
      </c>
      <c r="D29" s="11">
        <v>100</v>
      </c>
      <c r="E29" s="11">
        <v>50</v>
      </c>
      <c r="F29" s="15">
        <v>5000</v>
      </c>
      <c r="G29" s="19">
        <v>5000</v>
      </c>
    </row>
    <row r="30" spans="1:7" x14ac:dyDescent="0.3">
      <c r="A30" s="13" t="s">
        <v>46</v>
      </c>
      <c r="B30" s="11">
        <v>2000</v>
      </c>
      <c r="C30" s="11">
        <v>5</v>
      </c>
      <c r="D30" s="11">
        <v>2000</v>
      </c>
      <c r="E30" s="11">
        <v>4.5</v>
      </c>
      <c r="F30" s="15">
        <v>10000</v>
      </c>
      <c r="G30" s="19">
        <v>9000</v>
      </c>
    </row>
    <row r="31" spans="1:7" x14ac:dyDescent="0.3">
      <c r="A31" s="13" t="s">
        <v>47</v>
      </c>
      <c r="B31" s="11">
        <v>30</v>
      </c>
      <c r="C31" s="11">
        <v>100</v>
      </c>
      <c r="D31" s="11">
        <v>30</v>
      </c>
      <c r="E31" s="11">
        <v>100</v>
      </c>
      <c r="F31" s="15">
        <v>3000</v>
      </c>
      <c r="G31" s="19">
        <v>3000</v>
      </c>
    </row>
    <row r="32" spans="1:7" x14ac:dyDescent="0.3">
      <c r="A32" s="13" t="s">
        <v>48</v>
      </c>
      <c r="B32" s="11">
        <v>0</v>
      </c>
      <c r="C32" s="12"/>
      <c r="D32" s="11">
        <v>0</v>
      </c>
      <c r="E32" s="12"/>
      <c r="F32" s="15">
        <v>0</v>
      </c>
      <c r="G32" s="19">
        <v>0</v>
      </c>
    </row>
    <row r="33" spans="1:7" x14ac:dyDescent="0.3">
      <c r="A33" s="13" t="s">
        <v>49</v>
      </c>
      <c r="B33" s="11">
        <v>2000</v>
      </c>
      <c r="C33" s="12">
        <v>1</v>
      </c>
      <c r="D33" s="11">
        <v>2000</v>
      </c>
      <c r="E33" s="12">
        <v>0.85</v>
      </c>
      <c r="F33" s="15">
        <v>2000</v>
      </c>
      <c r="G33" s="19">
        <v>1700</v>
      </c>
    </row>
    <row r="34" spans="1:7" x14ac:dyDescent="0.3">
      <c r="A34" s="13" t="s">
        <v>50</v>
      </c>
      <c r="B34" s="11">
        <v>0</v>
      </c>
      <c r="C34" s="12"/>
      <c r="D34" s="11">
        <v>0</v>
      </c>
      <c r="E34" s="12"/>
      <c r="F34" s="15">
        <v>0</v>
      </c>
      <c r="G34" s="19">
        <v>0</v>
      </c>
    </row>
    <row r="35" spans="1:7" x14ac:dyDescent="0.3">
      <c r="A35" s="13" t="s">
        <v>51</v>
      </c>
      <c r="B35" s="11">
        <v>1</v>
      </c>
      <c r="C35" s="12">
        <v>5000</v>
      </c>
      <c r="D35" s="11">
        <v>1</v>
      </c>
      <c r="E35" s="12">
        <v>3500</v>
      </c>
      <c r="F35" s="15">
        <v>5000</v>
      </c>
      <c r="G35" s="19">
        <v>3500</v>
      </c>
    </row>
    <row r="36" spans="1:7" x14ac:dyDescent="0.3">
      <c r="A36" s="13" t="s">
        <v>52</v>
      </c>
      <c r="B36" s="11">
        <v>0</v>
      </c>
      <c r="C36" s="12"/>
      <c r="D36" s="11">
        <v>0</v>
      </c>
      <c r="E36" s="12"/>
      <c r="F36" s="15">
        <v>0</v>
      </c>
      <c r="G36" s="18">
        <v>0</v>
      </c>
    </row>
    <row r="37" spans="1:7" x14ac:dyDescent="0.3">
      <c r="A37" s="26"/>
      <c r="B37" s="27"/>
      <c r="C37" s="27"/>
      <c r="D37" s="28"/>
      <c r="E37" s="14" t="s">
        <v>27</v>
      </c>
      <c r="F37" s="15">
        <f>SUM(F29:F36)</f>
        <v>25000</v>
      </c>
      <c r="G37" s="18">
        <f>SUM(G29:G36)</f>
        <v>22200</v>
      </c>
    </row>
    <row r="38" spans="1:7" x14ac:dyDescent="0.3">
      <c r="A38" s="20" t="s">
        <v>44</v>
      </c>
      <c r="B38" s="21"/>
      <c r="C38" s="21"/>
      <c r="D38" s="21"/>
      <c r="E38" s="22"/>
      <c r="F38" s="23">
        <v>1217000</v>
      </c>
      <c r="G38" s="24">
        <v>1100450</v>
      </c>
    </row>
    <row r="40" spans="1:7" x14ac:dyDescent="0.3">
      <c r="A40" s="7"/>
    </row>
    <row r="41" spans="1:7" x14ac:dyDescent="0.3">
      <c r="B41" s="6"/>
    </row>
  </sheetData>
  <mergeCells count="12">
    <mergeCell ref="A37:D37"/>
    <mergeCell ref="A14:G14"/>
    <mergeCell ref="A2:G2"/>
    <mergeCell ref="A9:G9"/>
    <mergeCell ref="A15:G15"/>
    <mergeCell ref="A21:G21"/>
    <mergeCell ref="A28:G28"/>
    <mergeCell ref="A38:E38"/>
    <mergeCell ref="A8:D8"/>
    <mergeCell ref="A13:D13"/>
    <mergeCell ref="A20:D20"/>
    <mergeCell ref="A27:D27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A7E73-162A-41FF-91A2-FA2B9E4CEF4B}">
  <dimension ref="A1:F23"/>
  <sheetViews>
    <sheetView workbookViewId="0">
      <selection activeCell="D26" sqref="D26"/>
    </sheetView>
  </sheetViews>
  <sheetFormatPr defaultRowHeight="14.4" x14ac:dyDescent="0.3"/>
  <cols>
    <col min="4" max="4" width="20.5546875" customWidth="1"/>
    <col min="5" max="6" width="10.5546875" bestFit="1" customWidth="1"/>
  </cols>
  <sheetData>
    <row r="1" spans="1:6" x14ac:dyDescent="0.3">
      <c r="A1" s="7" t="s">
        <v>54</v>
      </c>
      <c r="D1" t="s">
        <v>62</v>
      </c>
    </row>
    <row r="2" spans="1:6" x14ac:dyDescent="0.3">
      <c r="B2" s="6" t="s">
        <v>53</v>
      </c>
    </row>
    <row r="3" spans="1:6" x14ac:dyDescent="0.3">
      <c r="C3" t="s">
        <v>55</v>
      </c>
      <c r="D3" t="str">
        <f>UPPER(C3)</f>
        <v>UPPER</v>
      </c>
    </row>
    <row r="4" spans="1:6" x14ac:dyDescent="0.3">
      <c r="C4" t="s">
        <v>56</v>
      </c>
      <c r="D4" t="str">
        <f>LOWER(C4)</f>
        <v>lower</v>
      </c>
    </row>
    <row r="5" spans="1:6" x14ac:dyDescent="0.3">
      <c r="C5" t="s">
        <v>57</v>
      </c>
      <c r="D5" t="str">
        <f>PROPER(D3)</f>
        <v>Upper</v>
      </c>
    </row>
    <row r="6" spans="1:6" x14ac:dyDescent="0.3">
      <c r="C6" t="s">
        <v>58</v>
      </c>
      <c r="D6" t="s">
        <v>59</v>
      </c>
      <c r="E6">
        <f>LEN(D6)</f>
        <v>14</v>
      </c>
    </row>
    <row r="7" spans="1:6" x14ac:dyDescent="0.3">
      <c r="C7" t="s">
        <v>60</v>
      </c>
      <c r="D7" t="s">
        <v>61</v>
      </c>
      <c r="E7" t="str">
        <f>TRIM(D7)</f>
        <v>omkar amberkar</v>
      </c>
    </row>
    <row r="8" spans="1:6" x14ac:dyDescent="0.3">
      <c r="C8" t="s">
        <v>63</v>
      </c>
      <c r="D8" t="s">
        <v>65</v>
      </c>
      <c r="E8" t="s">
        <v>64</v>
      </c>
      <c r="F8" t="str">
        <f>_xlfn.CONCAT(D8," ",E8)</f>
        <v>paresh  joshi</v>
      </c>
    </row>
    <row r="9" spans="1:6" x14ac:dyDescent="0.3">
      <c r="C9" t="s">
        <v>66</v>
      </c>
      <c r="D9" t="s">
        <v>69</v>
      </c>
      <c r="E9" t="str">
        <f>LEFT(D9,7)</f>
        <v>kalpesh</v>
      </c>
    </row>
    <row r="10" spans="1:6" x14ac:dyDescent="0.3">
      <c r="C10" t="s">
        <v>67</v>
      </c>
      <c r="D10" t="str">
        <f>MID(D9,9,5)</f>
        <v>kumar</v>
      </c>
    </row>
    <row r="11" spans="1:6" x14ac:dyDescent="0.3">
      <c r="C11" t="s">
        <v>68</v>
      </c>
      <c r="D11" t="str">
        <f>RIGHT(D9,5)</f>
        <v>singh</v>
      </c>
    </row>
    <row r="13" spans="1:6" x14ac:dyDescent="0.3">
      <c r="B13" t="s">
        <v>70</v>
      </c>
    </row>
    <row r="15" spans="1:6" x14ac:dyDescent="0.3">
      <c r="C15" t="s">
        <v>71</v>
      </c>
      <c r="D15" s="8">
        <f ca="1">TODAY()</f>
        <v>46219</v>
      </c>
    </row>
    <row r="16" spans="1:6" x14ac:dyDescent="0.3">
      <c r="C16" t="s">
        <v>72</v>
      </c>
      <c r="D16" s="9">
        <f ca="1">NOW()</f>
        <v>46219.836898263886</v>
      </c>
    </row>
    <row r="17" spans="3:6" x14ac:dyDescent="0.3">
      <c r="C17" t="s">
        <v>73</v>
      </c>
      <c r="D17">
        <f ca="1">DAY(D15)</f>
        <v>16</v>
      </c>
    </row>
    <row r="18" spans="3:6" x14ac:dyDescent="0.3">
      <c r="C18" t="s">
        <v>74</v>
      </c>
      <c r="D18">
        <f ca="1">MONTH(D15)</f>
        <v>7</v>
      </c>
    </row>
    <row r="19" spans="3:6" x14ac:dyDescent="0.3">
      <c r="C19" t="s">
        <v>75</v>
      </c>
      <c r="D19">
        <f ca="1">YEAR(D15)</f>
        <v>2026</v>
      </c>
    </row>
    <row r="20" spans="3:6" x14ac:dyDescent="0.3">
      <c r="C20" t="s">
        <v>76</v>
      </c>
      <c r="D20" s="8">
        <f ca="1">DATE(D19,D18,D17)</f>
        <v>46219</v>
      </c>
    </row>
    <row r="21" spans="3:6" x14ac:dyDescent="0.3">
      <c r="C21" t="s">
        <v>77</v>
      </c>
      <c r="D21" s="8">
        <v>37438</v>
      </c>
      <c r="E21" s="8">
        <f ca="1">TODAY()</f>
        <v>46219</v>
      </c>
      <c r="F21">
        <f ca="1">DATEDIF(D21,E21,"D")</f>
        <v>8781</v>
      </c>
    </row>
    <row r="22" spans="3:6" x14ac:dyDescent="0.3">
      <c r="C22" t="s">
        <v>78</v>
      </c>
      <c r="D22" s="8">
        <f ca="1">TODAY()-5</f>
        <v>46214</v>
      </c>
      <c r="E22">
        <v>12</v>
      </c>
      <c r="F22" s="8">
        <f ca="1">EDATE(D22,E22)</f>
        <v>46579</v>
      </c>
    </row>
    <row r="23" spans="3:6" x14ac:dyDescent="0.3">
      <c r="C23" t="s">
        <v>79</v>
      </c>
      <c r="D23" t="str">
        <f ca="1">TEXT(D22,"DDDD")</f>
        <v>Saturday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Gantt Chart</vt:lpstr>
      <vt:lpstr>Sheet1</vt:lpstr>
      <vt:lpstr>Sheet2</vt:lpstr>
      <vt:lpstr>Sheet3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Sumit Bansal</dc:creator>
  <cp:lastModifiedBy>Administrator</cp:lastModifiedBy>
  <dcterms:created xsi:type="dcterms:W3CDTF">2015-02-25T07:50:44Z</dcterms:created>
  <dcterms:modified xsi:type="dcterms:W3CDTF">2026-07-16T14:39:11Z</dcterms:modified>
</cp:coreProperties>
</file>